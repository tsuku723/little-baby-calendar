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anne\source\little-baby-age-expo54\docs\"/>
    </mc:Choice>
  </mc:AlternateContent>
  <xr:revisionPtr revIDLastSave="0" documentId="13_ncr:1_{8861512D-CBF7-47C7-8876-8D1AB802390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画面検討" sheetId="9" r:id="rId1"/>
    <sheet name="バグリスト" sheetId="5" r:id="rId2"/>
    <sheet name="dataModels.ts" sheetId="7" r:id="rId3"/>
    <sheet name="App.tsx" sheetId="3" r:id="rId4"/>
    <sheet name="index.tsx" sheetId="4" r:id="rId5"/>
    <sheet name="CalendarScreen.tsx" sheetId="2" r:id="rId6"/>
    <sheet name="AchievementSheet.tsx" sheetId="8" r:id="rId7"/>
    <sheet name="Sheet1" sheetId="1" r:id="rId8"/>
  </sheets>
  <definedNames>
    <definedName name="_xlnm._FilterDatabase" localSheetId="1" hidden="1">バグリスト!$B$2:$H$13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8" i="9" l="1"/>
  <c r="AM149" i="9"/>
  <c r="AM150" i="9"/>
  <c r="AM151" i="9"/>
  <c r="AM152" i="9"/>
  <c r="AM153" i="9"/>
  <c r="AM154" i="9"/>
  <c r="AM155" i="9"/>
  <c r="AM156" i="9"/>
  <c r="AM157" i="9"/>
  <c r="AM147" i="9"/>
  <c r="AM146" i="9"/>
</calcChain>
</file>

<file path=xl/sharedStrings.xml><?xml version="1.0" encoding="utf-8"?>
<sst xmlns="http://schemas.openxmlformats.org/spreadsheetml/2006/main" count="196" uniqueCount="176">
  <si>
    <t>役割：</t>
    <rPh sb="0" eb="2">
      <t>ヤクワリ</t>
    </rPh>
    <phoneticPr fontId="2"/>
  </si>
  <si>
    <t>ルート直下のソースが読み込まれる</t>
    <rPh sb="3" eb="5">
      <t>チョッカ</t>
    </rPh>
    <rPh sb="10" eb="11">
      <t>ヨ</t>
    </rPh>
    <rPh sb="12" eb="13">
      <t>コ</t>
    </rPh>
    <phoneticPr fontId="2"/>
  </si>
  <si>
    <t>Expoでまず最初に読み取るソース</t>
    <rPh sb="7" eb="9">
      <t>サイショ</t>
    </rPh>
    <rPh sb="10" eb="11">
      <t>ヨ</t>
    </rPh>
    <rPh sb="12" eb="13">
      <t>ト</t>
    </rPh>
    <phoneticPr fontId="2"/>
  </si>
  <si>
    <t>今回はsrc/App.tsxに本体が書かれている</t>
    <rPh sb="0" eb="2">
      <t>コンカイ</t>
    </rPh>
    <rPh sb="15" eb="17">
      <t>ホンタイ</t>
    </rPh>
    <rPh sb="18" eb="19">
      <t>カ</t>
    </rPh>
    <phoneticPr fontId="2"/>
  </si>
  <si>
    <t>どの画面を表示するかを記載</t>
    <rPh sb="11" eb="13">
      <t>キサイ</t>
    </rPh>
    <phoneticPr fontId="2"/>
  </si>
  <si>
    <t>画面表示の土台を作る（View のレイアウトなど）</t>
  </si>
  <si>
    <t>各種 Provider でアプリ全体の状態管理をまとめる</t>
  </si>
  <si>
    <t>Navigator（画面遷移）を読み込む</t>
  </si>
  <si>
    <t>画面描画：</t>
    <rPh sb="0" eb="4">
      <t>ガメンビョウガ</t>
    </rPh>
    <phoneticPr fontId="2"/>
  </si>
  <si>
    <t>const App: React.FC = () =&gt; {</t>
  </si>
  <si>
    <t xml:space="preserve">  return (</t>
  </si>
  <si>
    <t xml:space="preserve">    &lt;View style={{ flex: 1 }}&gt;</t>
  </si>
  <si>
    <t xml:space="preserve">      &lt;StatusBar barStyle="dark-content" /&gt;</t>
  </si>
  <si>
    <t xml:space="preserve">      &lt;SettingsProvider&gt;</t>
  </si>
  <si>
    <t xml:space="preserve">        &lt;AchievementsProvider&gt;</t>
  </si>
  <si>
    <t xml:space="preserve">          &lt;Navigator /&gt;</t>
  </si>
  <si>
    <t xml:space="preserve">        &lt;/AchievementsProvider&gt;</t>
  </si>
  <si>
    <t xml:space="preserve">      &lt;/SettingsProvider&gt;</t>
  </si>
  <si>
    <t xml:space="preserve">    &lt;/View&gt;</t>
  </si>
  <si>
    <t xml:space="preserve">  );</t>
  </si>
  <si>
    <t>};</t>
  </si>
  <si>
    <t>アプリ全体を包む最も外側の箱</t>
    <rPh sb="3" eb="5">
      <t>ゼンタイ</t>
    </rPh>
    <rPh sb="6" eb="7">
      <t>ツツ</t>
    </rPh>
    <rPh sb="8" eb="9">
      <t>モット</t>
    </rPh>
    <rPh sb="10" eb="12">
      <t>ソトガワ</t>
    </rPh>
    <rPh sb="13" eb="14">
      <t>ハコ</t>
    </rPh>
    <phoneticPr fontId="2"/>
  </si>
  <si>
    <t>flex: 1 → 画面いっぱいに広がる</t>
  </si>
  <si>
    <t>ステータスバーの色をダークへ</t>
    <rPh sb="8" eb="9">
      <t>イロ</t>
    </rPh>
    <phoneticPr fontId="2"/>
  </si>
  <si>
    <t>↓</t>
    <phoneticPr fontId="2"/>
  </si>
  <si>
    <t>プロバイダー</t>
    <phoneticPr fontId="2"/>
  </si>
  <si>
    <t>Provider ＝「全体にデータを配る電源タップみたいなもの」</t>
  </si>
  <si>
    <t>画面内で各データを自由に扱えるようにする</t>
    <rPh sb="0" eb="2">
      <t>ガメン</t>
    </rPh>
    <rPh sb="2" eb="3">
      <t>ナイ</t>
    </rPh>
    <rPh sb="4" eb="5">
      <t>カク</t>
    </rPh>
    <rPh sb="9" eb="11">
      <t>ジユウ</t>
    </rPh>
    <rPh sb="12" eb="13">
      <t>アツカ</t>
    </rPh>
    <phoneticPr fontId="2"/>
  </si>
  <si>
    <t>navigation/index.tsx</t>
  </si>
  <si>
    <t>App.tsx</t>
    <phoneticPr fontId="2"/>
  </si>
  <si>
    <t>Navigator はアプリ全体の 画面遷移（Navigation）を管理する司令塔 です。</t>
  </si>
  <si>
    <t>どの画面があるか</t>
    <phoneticPr fontId="2"/>
  </si>
  <si>
    <t>最初にどの画面を開くか</t>
    <phoneticPr fontId="2"/>
  </si>
  <si>
    <t>背景色等の画面デザイン</t>
    <rPh sb="0" eb="4">
      <t>ハイケイショクトウ</t>
    </rPh>
    <rPh sb="5" eb="7">
      <t>ガメン</t>
    </rPh>
    <phoneticPr fontId="2"/>
  </si>
  <si>
    <t>画面遷移</t>
    <rPh sb="0" eb="4">
      <t>ガメンセンイ</t>
    </rPh>
    <phoneticPr fontId="2"/>
  </si>
  <si>
    <t>コード解説</t>
    <rPh sb="3" eb="5">
      <t>カイセツ</t>
    </rPh>
    <phoneticPr fontId="2"/>
  </si>
  <si>
    <t>管理する画面を読み込み</t>
    <rPh sb="0" eb="2">
      <t>カンリ</t>
    </rPh>
    <rPh sb="4" eb="6">
      <t>ガメン</t>
    </rPh>
    <rPh sb="7" eb="8">
      <t>ヨ</t>
    </rPh>
    <rPh sb="9" eb="10">
      <t>コ</t>
    </rPh>
    <phoneticPr fontId="2"/>
  </si>
  <si>
    <t>export type RootStackParamList = {</t>
  </si>
  <si>
    <t xml:space="preserve">  Setup: undefined;</t>
  </si>
  <si>
    <t xml:space="preserve">  Calendar: { initialSelectedDay?: string } | undefined;</t>
  </si>
  <si>
    <t xml:space="preserve">  Settings: undefined;</t>
  </si>
  <si>
    <t xml:space="preserve">  AchievementList: undefined;</t>
  </si>
  <si>
    <t>引数の定義</t>
    <rPh sb="0" eb="2">
      <t>ヒキスウ</t>
    </rPh>
    <rPh sb="3" eb="5">
      <t>テイギ</t>
    </rPh>
    <phoneticPr fontId="2"/>
  </si>
  <si>
    <t>import CalendarScreen from "@/screens/CalendarScreen";</t>
  </si>
  <si>
    <t>import SetupScreen from "@/screens/SetupScreen";</t>
  </si>
  <si>
    <t>import SettingsScreen from "@/screens/SettingsScreen";</t>
  </si>
  <si>
    <t>import AchievementListScreen from "@/screens/AchievementListScreen";</t>
  </si>
  <si>
    <t>カレンダー画面</t>
    <rPh sb="5" eb="7">
      <t>ガメン</t>
    </rPh>
    <phoneticPr fontId="2"/>
  </si>
  <si>
    <t>設定画面</t>
    <rPh sb="0" eb="4">
      <t>セッテイガメン</t>
    </rPh>
    <phoneticPr fontId="2"/>
  </si>
  <si>
    <t>初期設定画面</t>
    <rPh sb="0" eb="4">
      <t>ショキセッテイ</t>
    </rPh>
    <rPh sb="4" eb="6">
      <t>ガメン</t>
    </rPh>
    <phoneticPr fontId="2"/>
  </si>
  <si>
    <t>できたリスト画面</t>
    <rPh sb="6" eb="8">
      <t>ガメン</t>
    </rPh>
    <phoneticPr fontId="2"/>
  </si>
  <si>
    <t>画面構成を持つための器</t>
    <rPh sb="0" eb="2">
      <t>ガメン</t>
    </rPh>
    <rPh sb="2" eb="4">
      <t>コウセイ</t>
    </rPh>
    <rPh sb="5" eb="6">
      <t>モ</t>
    </rPh>
    <rPh sb="10" eb="11">
      <t>ウツワ</t>
    </rPh>
    <phoneticPr fontId="2"/>
  </si>
  <si>
    <t>const Stack = createNativeStackNavigator&lt;RootStackParamList&gt;();</t>
  </si>
  <si>
    <t>const navTheme = {</t>
  </si>
  <si>
    <t xml:space="preserve">  ...DefaultTheme,</t>
  </si>
  <si>
    <t xml:space="preserve">  colors: {</t>
  </si>
  <si>
    <t xml:space="preserve">    ...DefaultTheme.colors,</t>
  </si>
  <si>
    <t xml:space="preserve">    background: "#FFFDF9",</t>
  </si>
  <si>
    <t xml:space="preserve">    text: "#2E2A27",</t>
  </si>
  <si>
    <t xml:space="preserve">    card: "#FFFDF9",</t>
  </si>
  <si>
    <t xml:space="preserve">  },</t>
  </si>
  <si>
    <t>アプリ全体のナビゲーションテーマ</t>
    <rPh sb="3" eb="5">
      <t>ゼンタイ</t>
    </rPh>
    <phoneticPr fontId="2"/>
  </si>
  <si>
    <t>背景色、文字色等の統一を行っている</t>
    <rPh sb="0" eb="3">
      <t>ハイケイショク</t>
    </rPh>
    <rPh sb="4" eb="7">
      <t>モジショク</t>
    </rPh>
    <rPh sb="7" eb="8">
      <t>トウ</t>
    </rPh>
    <rPh sb="9" eb="11">
      <t>トウイツ</t>
    </rPh>
    <rPh sb="12" eb="13">
      <t>オコナ</t>
    </rPh>
    <phoneticPr fontId="2"/>
  </si>
  <si>
    <t>初期画面を設定する</t>
    <rPh sb="0" eb="4">
      <t>ショキガメン</t>
    </rPh>
    <rPh sb="5" eb="7">
      <t>セッテイ</t>
    </rPh>
    <phoneticPr fontId="2"/>
  </si>
  <si>
    <t>const { settings, loading } = useSettings();</t>
  </si>
  <si>
    <t>if (loading) {</t>
  </si>
  <si>
    <t xml:space="preserve">  return null;</t>
  </si>
  <si>
    <t>}</t>
  </si>
  <si>
    <t>保存データ読み込み中の場合は何も表示しない。</t>
    <rPh sb="0" eb="2">
      <t>ホゾン</t>
    </rPh>
    <rPh sb="5" eb="6">
      <t>ヨ</t>
    </rPh>
    <rPh sb="7" eb="8">
      <t>コ</t>
    </rPh>
    <rPh sb="9" eb="10">
      <t>チュウ</t>
    </rPh>
    <rPh sb="11" eb="13">
      <t>バアイ</t>
    </rPh>
    <rPh sb="14" eb="15">
      <t>ナニ</t>
    </rPh>
    <rPh sb="16" eb="18">
      <t>ヒョウジ</t>
    </rPh>
    <phoneticPr fontId="2"/>
  </si>
  <si>
    <t>return (</t>
  </si>
  <si>
    <t xml:space="preserve">  &lt;NavigationContainer theme={navTheme}&gt;</t>
  </si>
  <si>
    <t xml:space="preserve">    &lt;Stack.Navigator initialRouteName={initialRoute} screenOptions={{ headerShown: false }}&gt;</t>
  </si>
  <si>
    <t xml:space="preserve">      &lt;Stack.Screen name="Setup" component={SetupScreen} /&gt;</t>
  </si>
  <si>
    <t xml:space="preserve">      &lt;Stack.Screen name="Calendar" component={CalendarScreen} /&gt;</t>
  </si>
  <si>
    <t xml:space="preserve">      &lt;Stack.Screen name="Settings" component={SettingsScreen} /&gt;</t>
  </si>
  <si>
    <t xml:space="preserve">      &lt;Stack.Screen name="AchievementList" component={AchievementListScreen} /&gt;</t>
  </si>
  <si>
    <t xml:space="preserve">    &lt;/Stack.Navigator&gt;</t>
  </si>
  <si>
    <t xml:space="preserve">  &lt;/NavigationContainer&gt;</t>
  </si>
  <si>
    <t>);</t>
  </si>
  <si>
    <t>const initialRoute = settings.birthDate ? "Calendar" : "Setup";</t>
  </si>
  <si>
    <t>まだ誕生日が登録されていない → SetupScreen を見せる</t>
  </si>
  <si>
    <t>誕生日が登録済み → CalendarScreen を見せる</t>
  </si>
  <si>
    <t>Navigatorの本体</t>
    <rPh sb="10" eb="12">
      <t>ホンタイ</t>
    </rPh>
    <phoneticPr fontId="2"/>
  </si>
  <si>
    <t>ナビゲーションを提供する大枠。</t>
  </si>
  <si>
    <t>画面リストを登録している</t>
    <rPh sb="0" eb="2">
      <t>ガメン</t>
    </rPh>
    <rPh sb="6" eb="8">
      <t>トウロク</t>
    </rPh>
    <phoneticPr fontId="2"/>
  </si>
  <si>
    <t>C:\Users\janne\source\little-baby-age-expo54\src\screens\CalendarScreen.tsx</t>
    <phoneticPr fontId="2"/>
  </si>
  <si>
    <t>アプリのメイン画面</t>
    <rPh sb="7" eb="9">
      <t>ガメン</t>
    </rPh>
    <phoneticPr fontId="2"/>
  </si>
  <si>
    <t>状態管理の読み込み</t>
    <rPh sb="0" eb="2">
      <t>ジョウタイ</t>
    </rPh>
    <rPh sb="2" eb="4">
      <t>カンリ</t>
    </rPh>
    <rPh sb="5" eb="6">
      <t>ヨ</t>
    </rPh>
    <rPh sb="7" eb="8">
      <t>コ</t>
    </rPh>
    <phoneticPr fontId="2"/>
  </si>
  <si>
    <t>import { useAchievements } from "@/state/AchievementsContext";</t>
  </si>
  <si>
    <t>import { useSettings } from "@/state/SettingsContext";</t>
  </si>
  <si>
    <t>type Props = NativeStackScreenProps&lt;RootStackParamList, "Calendar"&gt;;</t>
  </si>
  <si>
    <t>画面遷移で使われる型 = Props</t>
    <rPh sb="0" eb="2">
      <t>ガメン</t>
    </rPh>
    <rPh sb="2" eb="4">
      <t>センイ</t>
    </rPh>
    <rPh sb="5" eb="6">
      <t>ツカ</t>
    </rPh>
    <rPh sb="9" eb="10">
      <t>カタ</t>
    </rPh>
    <phoneticPr fontId="2"/>
  </si>
  <si>
    <t>React.FC は Function Component の意味。</t>
  </si>
  <si>
    <t>#</t>
    <phoneticPr fontId="2"/>
  </si>
  <si>
    <t>問題点</t>
    <rPh sb="0" eb="3">
      <t>モンダイテン</t>
    </rPh>
    <phoneticPr fontId="2"/>
  </si>
  <si>
    <t>画面</t>
    <rPh sb="0" eb="2">
      <t>ガメン</t>
    </rPh>
    <phoneticPr fontId="2"/>
  </si>
  <si>
    <t>C:\Users\janne\source\little-baby-age-expo54\src\models\dataModels.ts</t>
    <phoneticPr fontId="2"/>
  </si>
  <si>
    <t>データモデル</t>
    <phoneticPr fontId="2"/>
  </si>
  <si>
    <t>記載日</t>
    <rPh sb="0" eb="3">
      <t>キサイビ</t>
    </rPh>
    <phoneticPr fontId="2"/>
  </si>
  <si>
    <t>対応</t>
    <rPh sb="0" eb="2">
      <t>タイオウ</t>
    </rPh>
    <phoneticPr fontId="2"/>
  </si>
  <si>
    <t>期待値</t>
    <rPh sb="0" eb="3">
      <t>キタイチ</t>
    </rPh>
    <phoneticPr fontId="2"/>
  </si>
  <si>
    <t>対応日</t>
    <rPh sb="0" eb="3">
      <t>タイオウビ</t>
    </rPh>
    <phoneticPr fontId="2"/>
  </si>
  <si>
    <t>■</t>
    <phoneticPr fontId="2"/>
  </si>
  <si>
    <t>なぜこの順番か</t>
    <rPh sb="4" eb="6">
      <t>ジュンバン</t>
    </rPh>
    <phoneticPr fontId="2"/>
  </si>
  <si>
    <t>① Settings データ（誕生日・表示設定など）はアプリ全体で必要になる</t>
  </si>
  <si>
    <t>Provider は 外側に書いたものほど“全体”を包む</t>
  </si>
  <si>
    <t>② Achievements（実績データ）は Settings を参照する可能性がある</t>
  </si>
  <si>
    <t>→</t>
    <phoneticPr fontId="2"/>
  </si>
  <si>
    <t>Navigator は「データを受け取る側」なので最も内側でOK</t>
  </si>
  <si>
    <t>各画面を“積み重ねる”ように管理。初期画面</t>
    <rPh sb="17" eb="21">
      <t>ショキガメン</t>
    </rPh>
    <phoneticPr fontId="2"/>
  </si>
  <si>
    <t>TypeScriptではデータの型を作ることができる</t>
    <rPh sb="16" eb="17">
      <t>カタ</t>
    </rPh>
    <rPh sb="18" eb="19">
      <t>ツク</t>
    </rPh>
    <phoneticPr fontId="2"/>
  </si>
  <si>
    <t>そのときに使う文法</t>
    <rPh sb="5" eb="6">
      <t>ツカ</t>
    </rPh>
    <rPh sb="7" eb="9">
      <t>ブンポウ</t>
    </rPh>
    <phoneticPr fontId="2"/>
  </si>
  <si>
    <t>type:</t>
    <phoneticPr fontId="2"/>
  </si>
  <si>
    <t>type 新しい型の名前 = 型の内容;</t>
  </si>
  <si>
    <t>書き方：</t>
    <rPh sb="0" eb="1">
      <t>カ</t>
    </rPh>
    <rPh sb="2" eb="3">
      <t>カタ</t>
    </rPh>
    <phoneticPr fontId="2"/>
  </si>
  <si>
    <t>例：</t>
    <rPh sb="0" eb="1">
      <t>レイ</t>
    </rPh>
    <phoneticPr fontId="2"/>
  </si>
  <si>
    <t>type Age = number;</t>
  </si>
  <si>
    <t>Props：</t>
    <phoneticPr fontId="2"/>
  </si>
  <si>
    <t>型の名前</t>
    <rPh sb="0" eb="1">
      <t>カタ</t>
    </rPh>
    <rPh sb="2" eb="4">
      <t>ナマエ</t>
    </rPh>
    <phoneticPr fontId="2"/>
  </si>
  <si>
    <t xml:space="preserve">React Navigation（画面遷移ライブラリ）が提供する “型” </t>
    <phoneticPr fontId="2"/>
  </si>
  <si>
    <t>route（前の画面が渡してきたパラメータ）</t>
  </si>
  <si>
    <t>navigation（画面遷移の機能）</t>
    <phoneticPr fontId="2"/>
  </si>
  <si>
    <t>画面が受け取る二つの型をまとめたもの</t>
    <rPh sb="7" eb="8">
      <t>フタ</t>
    </rPh>
    <rPh sb="10" eb="11">
      <t>カタ</t>
    </rPh>
    <phoneticPr fontId="2"/>
  </si>
  <si>
    <t>NativeStackScreenProps&lt;全画面のパラメータ一覧, この画面名&gt;</t>
  </si>
  <si>
    <t xml:space="preserve">NativeStackScreenProps は 型のテンプレート（ジェネリック型） </t>
    <phoneticPr fontId="2"/>
  </si>
  <si>
    <t>&lt; &gt; の中に型を渡す</t>
    <phoneticPr fontId="2"/>
  </si>
  <si>
    <t>NativeStackScreenProps&lt;RootStackParamList, "Calendar"&gt;</t>
    <phoneticPr fontId="2"/>
  </si>
  <si>
    <t>①RootStackParamList</t>
    <phoneticPr fontId="2"/>
  </si>
  <si>
    <t>…index.tsxに定義されている</t>
    <rPh sb="11" eb="13">
      <t>テイギ</t>
    </rPh>
    <phoneticPr fontId="2"/>
  </si>
  <si>
    <t>②Calender</t>
    <phoneticPr fontId="2"/>
  </si>
  <si>
    <t>…index.tsxにて、RootStackParamList内に定義</t>
    <rPh sb="31" eb="32">
      <t>ナイ</t>
    </rPh>
    <rPh sb="33" eb="35">
      <t>テイギ</t>
    </rPh>
    <phoneticPr fontId="2"/>
  </si>
  <si>
    <t>まとめ、</t>
    <phoneticPr fontId="2"/>
  </si>
  <si>
    <t>“Calendar 画面が使える navigation と route の種類を、</t>
  </si>
  <si>
    <t>型として正しく自動で用意してくれるもの”</t>
  </si>
  <si>
    <t>画面コンポーネントの宣言</t>
    <rPh sb="0" eb="2">
      <t>ガメン</t>
    </rPh>
    <rPh sb="10" eb="12">
      <t>センゲン</t>
    </rPh>
    <phoneticPr fontId="2"/>
  </si>
  <si>
    <t>CalenderScreen：</t>
    <phoneticPr fontId="2"/>
  </si>
  <si>
    <t>定数名</t>
    <rPh sb="0" eb="3">
      <t>テイスウメイ</t>
    </rPh>
    <phoneticPr fontId="2"/>
  </si>
  <si>
    <t>: React.FC&lt;Props&gt;：</t>
    <phoneticPr fontId="2"/>
  </si>
  <si>
    <t>型の指定</t>
    <rPh sb="0" eb="1">
      <t>カタ</t>
    </rPh>
    <rPh sb="2" eb="4">
      <t>シテイ</t>
    </rPh>
    <phoneticPr fontId="2"/>
  </si>
  <si>
    <t>↑constの実際の値</t>
    <rPh sb="7" eb="9">
      <t>ジッサイ</t>
    </rPh>
    <rPh sb="10" eb="11">
      <t>アタイ</t>
    </rPh>
    <phoneticPr fontId="2"/>
  </si>
  <si>
    <t>=&gt;{}</t>
  </si>
  <si>
    <t>アロー関数</t>
    <rPh sb="3" eb="5">
      <t>カンスウ</t>
    </rPh>
    <phoneticPr fontId="2"/>
  </si>
  <si>
    <r>
      <t xml:space="preserve">const CalendarScreen: React.FC&lt;Props&gt; = </t>
    </r>
    <r>
      <rPr>
        <u/>
        <sz val="11"/>
        <color theme="1"/>
        <rFont val="Yu Gothic"/>
        <family val="3"/>
        <charset val="128"/>
        <scheme val="minor"/>
      </rPr>
      <t>({ navigation, route }) =&gt; {</t>
    </r>
    <r>
      <rPr>
        <sz val="11"/>
        <color theme="1"/>
        <rFont val="Yu Gothic"/>
        <family val="2"/>
        <scheme val="minor"/>
      </rPr>
      <t xml:space="preserve"> 関数ロジック</t>
    </r>
    <rPh sb="69" eb="71">
      <t>カンスウ</t>
    </rPh>
    <phoneticPr fontId="2"/>
  </si>
  <si>
    <t>AchievementSheet.tsx</t>
  </si>
  <si>
    <t>できた一覧画面</t>
    <rPh sb="3" eb="7">
      <t>イチランガメン</t>
    </rPh>
    <phoneticPr fontId="2"/>
  </si>
  <si>
    <t>登録したできたが表示されていない</t>
    <rPh sb="0" eb="2">
      <t>トウロク</t>
    </rPh>
    <rPh sb="8" eb="10">
      <t>ヒョウジ</t>
    </rPh>
    <phoneticPr fontId="2"/>
  </si>
  <si>
    <t>Today画面</t>
    <rPh sb="5" eb="7">
      <t>ガメン</t>
    </rPh>
    <phoneticPr fontId="2"/>
  </si>
  <si>
    <t>この画面に戻るボタンが欲しい</t>
    <rPh sb="2" eb="4">
      <t>ガメン</t>
    </rPh>
    <rPh sb="5" eb="6">
      <t>モド</t>
    </rPh>
    <rPh sb="11" eb="12">
      <t>ホ</t>
    </rPh>
    <phoneticPr fontId="2"/>
  </si>
  <si>
    <t>2025/12/14</t>
    <phoneticPr fontId="2"/>
  </si>
  <si>
    <t>成長記録</t>
    <rPh sb="0" eb="2">
      <t>セイチョウ</t>
    </rPh>
    <rPh sb="2" eb="4">
      <t>キロク</t>
    </rPh>
    <phoneticPr fontId="2"/>
  </si>
  <si>
    <t>一覧</t>
    <rPh sb="0" eb="2">
      <t>イチラン</t>
    </rPh>
    <phoneticPr fontId="2"/>
  </si>
  <si>
    <t>「一覧」押下で記録の一覧画面へ戻る</t>
    <rPh sb="1" eb="3">
      <t>イチラン</t>
    </rPh>
    <rPh sb="4" eb="6">
      <t>オウカ</t>
    </rPh>
    <rPh sb="7" eb="9">
      <t>キロク</t>
    </rPh>
    <rPh sb="10" eb="12">
      <t>イチラン</t>
    </rPh>
    <rPh sb="12" eb="14">
      <t>ガメン</t>
    </rPh>
    <rPh sb="15" eb="16">
      <t>モド</t>
    </rPh>
    <phoneticPr fontId="2"/>
  </si>
  <si>
    <t>期間をプルダウン形式で選べる</t>
    <rPh sb="0" eb="2">
      <t>キカン</t>
    </rPh>
    <rPh sb="8" eb="10">
      <t>ケイシキ</t>
    </rPh>
    <rPh sb="11" eb="12">
      <t>エラ</t>
    </rPh>
    <phoneticPr fontId="2"/>
  </si>
  <si>
    <t>グラフ</t>
    <phoneticPr fontId="2"/>
  </si>
  <si>
    <t>←メニューボタン</t>
    <phoneticPr fontId="2"/>
  </si>
  <si>
    <t>年月</t>
    <rPh sb="0" eb="2">
      <t>ネンゲツ</t>
    </rPh>
    <phoneticPr fontId="2"/>
  </si>
  <si>
    <t>件数</t>
    <rPh sb="0" eb="2">
      <t>ケンスウ</t>
    </rPh>
    <phoneticPr fontId="2"/>
  </si>
  <si>
    <t>累計</t>
    <rPh sb="0" eb="2">
      <t>ルイケイ</t>
    </rPh>
    <phoneticPr fontId="2"/>
  </si>
  <si>
    <t>修正</t>
    <rPh sb="0" eb="2">
      <t>シュウセイ</t>
    </rPh>
    <phoneticPr fontId="2"/>
  </si>
  <si>
    <t>1</t>
    <phoneticPr fontId="2"/>
  </si>
  <si>
    <t>0</t>
    <phoneticPr fontId="2"/>
  </si>
  <si>
    <t>2</t>
  </si>
  <si>
    <t>3</t>
  </si>
  <si>
    <t>4</t>
  </si>
  <si>
    <t>5</t>
  </si>
  <si>
    <t>6</t>
  </si>
  <si>
    <t>7</t>
  </si>
  <si>
    <t>8</t>
  </si>
  <si>
    <t>9</t>
  </si>
  <si>
    <t>-2</t>
    <phoneticPr fontId="2"/>
  </si>
  <si>
    <t>-1</t>
    <phoneticPr fontId="2"/>
  </si>
  <si>
    <t>10</t>
  </si>
  <si>
    <t>11</t>
  </si>
  <si>
    <t>12</t>
  </si>
  <si>
    <t>w表記は、修正月齢が0M未満の期間にのみ使用する</t>
  </si>
  <si>
    <t>実月齢の表記には使用しない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</si>
</sst>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;@"/>
  </numFmts>
  <fonts count="6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u/>
      <sz val="11"/>
      <color theme="1"/>
      <name val="Yu Gothic"/>
      <family val="3"/>
      <charset val="128"/>
      <scheme val="minor"/>
    </font>
    <font>
      <u/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3" fillId="0" borderId="0" xfId="0" applyFont="1"/>
    <xf numFmtId="0" fontId="0" fillId="2" borderId="0" xfId="0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176" fontId="3" fillId="0" borderId="0" xfId="0" applyNumberFormat="1" applyFont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3" fillId="0" borderId="0" xfId="1" applyNumberFormat="1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quotePrefix="1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5" fillId="0" borderId="0" xfId="0" applyFont="1" applyBorder="1"/>
    <xf numFmtId="55" fontId="3" fillId="0" borderId="0" xfId="0" quotePrefix="1" applyNumberFormat="1" applyFont="1"/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記録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画面検討!$AL$145</c:f>
              <c:strCache>
                <c:ptCount val="1"/>
                <c:pt idx="0">
                  <c:v>件数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画面検討!$AJ$146:$AK$157</c:f>
              <c:multiLvlStrCache>
                <c:ptCount val="12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</c:lvl>
              </c:multiLvlStrCache>
            </c:multiLvlStrRef>
          </c:cat>
          <c:val>
            <c:numRef>
              <c:f>画面検討!$AL$146:$AL$157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E-4FBE-9A3A-8DBA23774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8504159"/>
        <c:axId val="1368502719"/>
      </c:barChart>
      <c:lineChart>
        <c:grouping val="standard"/>
        <c:varyColors val="0"/>
        <c:ser>
          <c:idx val="1"/>
          <c:order val="1"/>
          <c:tx>
            <c:strRef>
              <c:f>画面検討!$AM$145</c:f>
              <c:strCache>
                <c:ptCount val="1"/>
                <c:pt idx="0">
                  <c:v>累計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画面検討!$AK$146:$AK$157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画面検討!$AM$146:$AM$157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E-4FBE-9A3A-8DBA23774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0031951"/>
        <c:axId val="1990044431"/>
      </c:lineChart>
      <c:catAx>
        <c:axId val="136850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8502719"/>
        <c:auto val="1"/>
        <c:lblAlgn val="ctr"/>
        <c:lblOffset val="100"/>
        <c:noMultiLvlLbl val="0"/>
      </c:catAx>
      <c:valAx>
        <c:axId val="13685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8504159"/>
        <c:crossBetween val="between"/>
        <c:majorUnit val="1"/>
      </c:valAx>
      <c:valAx>
        <c:axId val="199004443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90031951"/>
        <c:crosses val="max"/>
        <c:crossBetween val="between"/>
        <c:majorUnit val="5"/>
      </c:valAx>
      <c:catAx>
        <c:axId val="19900319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004443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chart" Target="../charts/chart1.xml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</xdr:colOff>
      <xdr:row>2</xdr:row>
      <xdr:rowOff>106680</xdr:rowOff>
    </xdr:from>
    <xdr:to>
      <xdr:col>19</xdr:col>
      <xdr:colOff>36792</xdr:colOff>
      <xdr:row>27</xdr:row>
      <xdr:rowOff>18369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A61C377-3C3F-ADD2-A419-5D52C338C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0" y="472440"/>
          <a:ext cx="3709632" cy="4483689"/>
        </a:xfrm>
        <a:prstGeom prst="rect">
          <a:avLst/>
        </a:prstGeom>
      </xdr:spPr>
    </xdr:pic>
    <xdr:clientData/>
  </xdr:twoCellAnchor>
  <xdr:twoCellAnchor>
    <xdr:from>
      <xdr:col>1</xdr:col>
      <xdr:colOff>99060</xdr:colOff>
      <xdr:row>12</xdr:row>
      <xdr:rowOff>38100</xdr:rowOff>
    </xdr:from>
    <xdr:to>
      <xdr:col>19</xdr:col>
      <xdr:colOff>22860</xdr:colOff>
      <xdr:row>20</xdr:row>
      <xdr:rowOff>167640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A83BDF3-1274-E9F2-4636-35645D1C93AC}"/>
            </a:ext>
          </a:extLst>
        </xdr:cNvPr>
        <xdr:cNvSpPr/>
      </xdr:nvSpPr>
      <xdr:spPr>
        <a:xfrm>
          <a:off x="304800" y="2232660"/>
          <a:ext cx="3627120" cy="159258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144780</xdr:colOff>
      <xdr:row>10</xdr:row>
      <xdr:rowOff>114300</xdr:rowOff>
    </xdr:from>
    <xdr:to>
      <xdr:col>27</xdr:col>
      <xdr:colOff>198120</xdr:colOff>
      <xdr:row>15</xdr:row>
      <xdr:rowOff>144780</xdr:rowOff>
    </xdr:to>
    <xdr:sp macro="" textlink="">
      <xdr:nvSpPr>
        <xdr:cNvPr id="4" name="吹き出し: 角を丸めた四角形 3">
          <a:extLst>
            <a:ext uri="{FF2B5EF4-FFF2-40B4-BE49-F238E27FC236}">
              <a16:creationId xmlns:a16="http://schemas.microsoft.com/office/drawing/2014/main" id="{5B95614F-8B01-F9D1-1AE1-A73D5926809D}"/>
            </a:ext>
          </a:extLst>
        </xdr:cNvPr>
        <xdr:cNvSpPr/>
      </xdr:nvSpPr>
      <xdr:spPr>
        <a:xfrm>
          <a:off x="4259580" y="1943100"/>
          <a:ext cx="1493520" cy="944880"/>
        </a:xfrm>
        <a:prstGeom prst="wedgeRoundRectCallout">
          <a:avLst>
            <a:gd name="adj1" fmla="val -62670"/>
            <a:gd name="adj2" fmla="val 69167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このボタンは不要になったので削除</a:t>
          </a:r>
        </a:p>
      </xdr:txBody>
    </xdr:sp>
    <xdr:clientData/>
  </xdr:twoCellAnchor>
  <xdr:twoCellAnchor editAs="oneCell">
    <xdr:from>
      <xdr:col>1</xdr:col>
      <xdr:colOff>1</xdr:colOff>
      <xdr:row>33</xdr:row>
      <xdr:rowOff>152399</xdr:rowOff>
    </xdr:from>
    <xdr:to>
      <xdr:col>20</xdr:col>
      <xdr:colOff>1243</xdr:colOff>
      <xdr:row>59</xdr:row>
      <xdr:rowOff>68580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29DFE1E-76E8-4820-01E9-03AAE725E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5741" y="6187439"/>
          <a:ext cx="3910302" cy="4671061"/>
        </a:xfrm>
        <a:prstGeom prst="rect">
          <a:avLst/>
        </a:prstGeom>
      </xdr:spPr>
    </xdr:pic>
    <xdr:clientData/>
  </xdr:twoCellAnchor>
  <xdr:twoCellAnchor>
    <xdr:from>
      <xdr:col>15</xdr:col>
      <xdr:colOff>114300</xdr:colOff>
      <xdr:row>33</xdr:row>
      <xdr:rowOff>144780</xdr:rowOff>
    </xdr:from>
    <xdr:to>
      <xdr:col>19</xdr:col>
      <xdr:colOff>152400</xdr:colOff>
      <xdr:row>36</xdr:row>
      <xdr:rowOff>68580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48C51EC8-3D09-4C26-8EE1-08C8A725FF0D}"/>
            </a:ext>
          </a:extLst>
        </xdr:cNvPr>
        <xdr:cNvSpPr/>
      </xdr:nvSpPr>
      <xdr:spPr>
        <a:xfrm>
          <a:off x="3200400" y="6179820"/>
          <a:ext cx="861060" cy="47244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15240</xdr:colOff>
      <xdr:row>29</xdr:row>
      <xdr:rowOff>76200</xdr:rowOff>
    </xdr:from>
    <xdr:to>
      <xdr:col>27</xdr:col>
      <xdr:colOff>68580</xdr:colOff>
      <xdr:row>34</xdr:row>
      <xdr:rowOff>106680</xdr:rowOff>
    </xdr:to>
    <xdr:sp macro="" textlink="">
      <xdr:nvSpPr>
        <xdr:cNvPr id="7" name="吹き出し: 角を丸めた四角形 6">
          <a:extLst>
            <a:ext uri="{FF2B5EF4-FFF2-40B4-BE49-F238E27FC236}">
              <a16:creationId xmlns:a16="http://schemas.microsoft.com/office/drawing/2014/main" id="{546DD767-B91D-44E9-A909-4261EF8A1D79}"/>
            </a:ext>
          </a:extLst>
        </xdr:cNvPr>
        <xdr:cNvSpPr/>
      </xdr:nvSpPr>
      <xdr:spPr>
        <a:xfrm>
          <a:off x="4130040" y="5379720"/>
          <a:ext cx="1493520" cy="944880"/>
        </a:xfrm>
        <a:prstGeom prst="wedgeRoundRectCallout">
          <a:avLst>
            <a:gd name="adj1" fmla="val -62670"/>
            <a:gd name="adj2" fmla="val 69167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このボタンは不要になったので削除</a:t>
          </a:r>
        </a:p>
      </xdr:txBody>
    </xdr:sp>
    <xdr:clientData/>
  </xdr:twoCellAnchor>
  <xdr:twoCellAnchor editAs="oneCell">
    <xdr:from>
      <xdr:col>1</xdr:col>
      <xdr:colOff>0</xdr:colOff>
      <xdr:row>67</xdr:row>
      <xdr:rowOff>0</xdr:rowOff>
    </xdr:from>
    <xdr:to>
      <xdr:col>30</xdr:col>
      <xdr:colOff>254233</xdr:colOff>
      <xdr:row>112</xdr:row>
      <xdr:rowOff>163096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9923F051-F3D4-80E7-2B10-31930E78E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740" y="12252960"/>
          <a:ext cx="6220693" cy="8392696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139</xdr:row>
      <xdr:rowOff>142324</xdr:rowOff>
    </xdr:from>
    <xdr:to>
      <xdr:col>19</xdr:col>
      <xdr:colOff>15240</xdr:colOff>
      <xdr:row>141</xdr:row>
      <xdr:rowOff>108682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4FF20687-32D6-8C48-CFE4-4BE4C9705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25780" y="25562644"/>
          <a:ext cx="3398520" cy="332118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144</xdr:row>
      <xdr:rowOff>175260</xdr:rowOff>
    </xdr:from>
    <xdr:to>
      <xdr:col>29</xdr:col>
      <xdr:colOff>160020</xdr:colOff>
      <xdr:row>159</xdr:row>
      <xdr:rowOff>175260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695D138B-342B-9F61-C5C6-8FF2153D6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22860</xdr:colOff>
      <xdr:row>156</xdr:row>
      <xdr:rowOff>30480</xdr:rowOff>
    </xdr:from>
    <xdr:to>
      <xdr:col>30</xdr:col>
      <xdr:colOff>312420</xdr:colOff>
      <xdr:row>159</xdr:row>
      <xdr:rowOff>38100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C15340A4-F366-93BA-8630-0DA55416C9C2}"/>
            </a:ext>
          </a:extLst>
        </xdr:cNvPr>
        <xdr:cNvSpPr txBox="1"/>
      </xdr:nvSpPr>
      <xdr:spPr>
        <a:xfrm>
          <a:off x="5783580" y="28559760"/>
          <a:ext cx="701040" cy="5562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r>
            <a:rPr kumimoji="1" lang="ja-JP" altLang="en-US" sz="700"/>
            <a:t>実月齢</a:t>
          </a:r>
          <a:endParaRPr kumimoji="1" lang="en-US" altLang="ja-JP" sz="700"/>
        </a:p>
        <a:p>
          <a:r>
            <a:rPr kumimoji="1" lang="ja-JP" altLang="en-US" sz="700"/>
            <a:t>修正月齢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114300</xdr:colOff>
      <xdr:row>27</xdr:row>
      <xdr:rowOff>148971</xdr:rowOff>
    </xdr:from>
    <xdr:to>
      <xdr:col>64</xdr:col>
      <xdr:colOff>100336</xdr:colOff>
      <xdr:row>35</xdr:row>
      <xdr:rowOff>152735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893EE00-7E1D-BE36-A95C-543DE83A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86500" y="6321171"/>
          <a:ext cx="6981196" cy="1832564"/>
        </a:xfrm>
        <a:prstGeom prst="rect">
          <a:avLst/>
        </a:prstGeom>
      </xdr:spPr>
    </xdr:pic>
    <xdr:clientData/>
  </xdr:twoCellAnchor>
  <xdr:twoCellAnchor editAs="oneCell">
    <xdr:from>
      <xdr:col>41</xdr:col>
      <xdr:colOff>76200</xdr:colOff>
      <xdr:row>38</xdr:row>
      <xdr:rowOff>145408</xdr:rowOff>
    </xdr:from>
    <xdr:to>
      <xdr:col>70</xdr:col>
      <xdr:colOff>123276</xdr:colOff>
      <xdr:row>50</xdr:row>
      <xdr:rowOff>137777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C9B89E8-FD98-89CD-1FC2-DB3A5176E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11540" y="8832208"/>
          <a:ext cx="6013536" cy="27355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99D4D-685C-468A-B8EB-81E4D8FBB25D}">
  <dimension ref="B2:AM164"/>
  <sheetViews>
    <sheetView tabSelected="1" topLeftCell="A141" workbookViewId="0">
      <selection activeCell="E162" sqref="E162"/>
    </sheetView>
  </sheetViews>
  <sheetFormatPr defaultColWidth="2.69921875" defaultRowHeight="14.4"/>
  <cols>
    <col min="1" max="30" width="2.69921875" style="1"/>
    <col min="31" max="31" width="5" style="1" bestFit="1" customWidth="1"/>
    <col min="32" max="32" width="2.69921875" style="1"/>
    <col min="33" max="33" width="3.59765625" style="1" bestFit="1" customWidth="1"/>
    <col min="34" max="35" width="2.69921875" style="1"/>
    <col min="36" max="36" width="5.8984375" style="1" customWidth="1"/>
    <col min="37" max="16384" width="2.69921875" style="1"/>
  </cols>
  <sheetData>
    <row r="2" spans="2:2">
      <c r="B2" s="1" t="s">
        <v>146</v>
      </c>
    </row>
    <row r="67" spans="35:36">
      <c r="AI67" s="11" t="s">
        <v>148</v>
      </c>
    </row>
    <row r="68" spans="35:36">
      <c r="AJ68" s="1" t="s">
        <v>147</v>
      </c>
    </row>
    <row r="117" spans="3:22"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4"/>
    </row>
    <row r="118" spans="3:22">
      <c r="C118" s="15"/>
      <c r="D118" s="16"/>
      <c r="E118" s="16"/>
      <c r="F118" s="16"/>
      <c r="G118" s="16" t="s">
        <v>149</v>
      </c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21" t="s">
        <v>150</v>
      </c>
      <c r="S118" s="21"/>
      <c r="T118" s="17"/>
      <c r="V118" s="1" t="s">
        <v>151</v>
      </c>
    </row>
    <row r="119" spans="3:22">
      <c r="C119" s="15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7"/>
    </row>
    <row r="120" spans="3:22">
      <c r="C120" s="15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7"/>
      <c r="V120" s="1" t="s">
        <v>152</v>
      </c>
    </row>
    <row r="121" spans="3:22">
      <c r="C121" s="15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7"/>
    </row>
    <row r="122" spans="3:22">
      <c r="C122" s="15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7"/>
    </row>
    <row r="123" spans="3:22">
      <c r="C123" s="15"/>
      <c r="D123" s="1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4"/>
      <c r="S123" s="16"/>
      <c r="T123" s="17"/>
    </row>
    <row r="124" spans="3:22">
      <c r="C124" s="15"/>
      <c r="D124" s="15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7"/>
      <c r="S124" s="16"/>
      <c r="T124" s="17"/>
    </row>
    <row r="125" spans="3:22">
      <c r="C125" s="15"/>
      <c r="D125" s="15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7"/>
      <c r="S125" s="16"/>
      <c r="T125" s="17"/>
    </row>
    <row r="126" spans="3:22">
      <c r="C126" s="15"/>
      <c r="D126" s="15"/>
      <c r="E126" s="16"/>
      <c r="F126" s="16" t="s">
        <v>153</v>
      </c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7"/>
      <c r="S126" s="16"/>
      <c r="T126" s="17"/>
    </row>
    <row r="127" spans="3:22">
      <c r="C127" s="15"/>
      <c r="D127" s="15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7"/>
      <c r="S127" s="16"/>
      <c r="T127" s="17"/>
    </row>
    <row r="128" spans="3:22">
      <c r="C128" s="15"/>
      <c r="D128" s="15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7"/>
      <c r="S128" s="16"/>
      <c r="T128" s="17"/>
    </row>
    <row r="129" spans="3:22">
      <c r="C129" s="15"/>
      <c r="D129" s="15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7"/>
      <c r="S129" s="16"/>
      <c r="T129" s="17"/>
    </row>
    <row r="130" spans="3:22">
      <c r="C130" s="15"/>
      <c r="D130" s="15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7"/>
      <c r="S130" s="16"/>
      <c r="T130" s="17"/>
    </row>
    <row r="131" spans="3:22">
      <c r="C131" s="15"/>
      <c r="D131" s="15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7"/>
      <c r="S131" s="16"/>
      <c r="T131" s="17"/>
    </row>
    <row r="132" spans="3:22">
      <c r="C132" s="15"/>
      <c r="D132" s="15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7"/>
      <c r="S132" s="16"/>
      <c r="T132" s="17"/>
    </row>
    <row r="133" spans="3:22">
      <c r="C133" s="15"/>
      <c r="D133" s="15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7"/>
      <c r="S133" s="16"/>
      <c r="T133" s="17"/>
    </row>
    <row r="134" spans="3:22">
      <c r="C134" s="15"/>
      <c r="D134" s="15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7"/>
      <c r="S134" s="16"/>
      <c r="T134" s="17"/>
    </row>
    <row r="135" spans="3:22">
      <c r="C135" s="15"/>
      <c r="D135" s="15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7"/>
      <c r="S135" s="16"/>
      <c r="T135" s="17"/>
    </row>
    <row r="136" spans="3:22">
      <c r="C136" s="15"/>
      <c r="D136" s="15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7"/>
      <c r="S136" s="16"/>
      <c r="T136" s="17"/>
    </row>
    <row r="137" spans="3:22">
      <c r="C137" s="15"/>
      <c r="D137" s="15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7"/>
      <c r="S137" s="16"/>
      <c r="T137" s="17"/>
    </row>
    <row r="138" spans="3:22">
      <c r="C138" s="15"/>
      <c r="D138" s="18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20"/>
      <c r="S138" s="16"/>
      <c r="T138" s="17"/>
    </row>
    <row r="139" spans="3:22">
      <c r="C139" s="15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7"/>
    </row>
    <row r="140" spans="3:22">
      <c r="C140" s="15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7"/>
    </row>
    <row r="141" spans="3:22">
      <c r="C141" s="15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7"/>
      <c r="V141" s="1" t="s">
        <v>154</v>
      </c>
    </row>
    <row r="142" spans="3:22">
      <c r="C142" s="18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20"/>
    </row>
    <row r="145" spans="36:39">
      <c r="AJ145" s="1" t="s">
        <v>158</v>
      </c>
      <c r="AK145" s="1" t="s">
        <v>155</v>
      </c>
      <c r="AL145" s="1" t="s">
        <v>156</v>
      </c>
      <c r="AM145" s="1" t="s">
        <v>157</v>
      </c>
    </row>
    <row r="146" spans="36:39">
      <c r="AJ146" s="22" t="s">
        <v>169</v>
      </c>
      <c r="AK146" s="22" t="s">
        <v>159</v>
      </c>
      <c r="AL146" s="1">
        <v>1</v>
      </c>
      <c r="AM146" s="1">
        <f>SUM(AL146)</f>
        <v>1</v>
      </c>
    </row>
    <row r="147" spans="36:39">
      <c r="AJ147" s="22" t="s">
        <v>170</v>
      </c>
      <c r="AK147" s="22" t="s">
        <v>161</v>
      </c>
      <c r="AL147" s="1">
        <v>2</v>
      </c>
      <c r="AM147" s="1">
        <f>SUM(AL$146:AL147)</f>
        <v>3</v>
      </c>
    </row>
    <row r="148" spans="36:39">
      <c r="AJ148" s="22" t="s">
        <v>160</v>
      </c>
      <c r="AK148" s="22" t="s">
        <v>162</v>
      </c>
      <c r="AL148" s="1">
        <v>0</v>
      </c>
      <c r="AM148" s="1">
        <f>SUM(AL$146:AL148)</f>
        <v>3</v>
      </c>
    </row>
    <row r="149" spans="36:39">
      <c r="AJ149" s="22" t="s">
        <v>159</v>
      </c>
      <c r="AK149" s="22" t="s">
        <v>163</v>
      </c>
      <c r="AL149" s="1">
        <v>0</v>
      </c>
      <c r="AM149" s="1">
        <f>SUM(AL$146:AL149)</f>
        <v>3</v>
      </c>
    </row>
    <row r="150" spans="36:39">
      <c r="AJ150" s="22" t="s">
        <v>161</v>
      </c>
      <c r="AK150" s="22" t="s">
        <v>164</v>
      </c>
      <c r="AL150" s="1">
        <v>3</v>
      </c>
      <c r="AM150" s="1">
        <f>SUM(AL$146:AL150)</f>
        <v>6</v>
      </c>
    </row>
    <row r="151" spans="36:39">
      <c r="AJ151" s="22" t="s">
        <v>162</v>
      </c>
      <c r="AK151" s="22" t="s">
        <v>165</v>
      </c>
      <c r="AL151" s="1">
        <v>4</v>
      </c>
      <c r="AM151" s="1">
        <f>SUM(AL$146:AL151)</f>
        <v>10</v>
      </c>
    </row>
    <row r="152" spans="36:39">
      <c r="AJ152" s="22" t="s">
        <v>163</v>
      </c>
      <c r="AK152" s="22" t="s">
        <v>166</v>
      </c>
      <c r="AL152" s="1">
        <v>2</v>
      </c>
      <c r="AM152" s="1">
        <f>SUM(AL$146:AL152)</f>
        <v>12</v>
      </c>
    </row>
    <row r="153" spans="36:39">
      <c r="AJ153" s="22" t="s">
        <v>164</v>
      </c>
      <c r="AK153" s="22" t="s">
        <v>167</v>
      </c>
      <c r="AL153" s="1">
        <v>1</v>
      </c>
      <c r="AM153" s="1">
        <f>SUM(AL$146:AL153)</f>
        <v>13</v>
      </c>
    </row>
    <row r="154" spans="36:39">
      <c r="AJ154" s="22" t="s">
        <v>165</v>
      </c>
      <c r="AK154" s="22" t="s">
        <v>168</v>
      </c>
      <c r="AL154" s="1">
        <v>1</v>
      </c>
      <c r="AM154" s="1">
        <f>SUM(AL$146:AL154)</f>
        <v>14</v>
      </c>
    </row>
    <row r="155" spans="36:39">
      <c r="AJ155" s="22" t="s">
        <v>166</v>
      </c>
      <c r="AK155" s="22" t="s">
        <v>171</v>
      </c>
      <c r="AL155" s="1">
        <v>0</v>
      </c>
      <c r="AM155" s="1">
        <f>SUM(AL$146:AL155)</f>
        <v>14</v>
      </c>
    </row>
    <row r="156" spans="36:39">
      <c r="AJ156" s="22" t="s">
        <v>167</v>
      </c>
      <c r="AK156" s="22" t="s">
        <v>172</v>
      </c>
      <c r="AL156" s="1">
        <v>0</v>
      </c>
      <c r="AM156" s="1">
        <f>SUM(AL$146:AL156)</f>
        <v>14</v>
      </c>
    </row>
    <row r="157" spans="36:39">
      <c r="AJ157" s="22" t="s">
        <v>168</v>
      </c>
      <c r="AK157" s="22" t="s">
        <v>173</v>
      </c>
      <c r="AL157" s="1">
        <v>2</v>
      </c>
      <c r="AM157" s="1">
        <f>SUM(AL$146:AL157)</f>
        <v>16</v>
      </c>
    </row>
    <row r="163" spans="10:10" ht="18">
      <c r="J163" t="s">
        <v>174</v>
      </c>
    </row>
    <row r="164" spans="10:10" ht="18">
      <c r="J164" t="s">
        <v>175</v>
      </c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5A72B-B203-49F9-8AD6-45A40D6AC3F2}">
  <dimension ref="B2:H165"/>
  <sheetViews>
    <sheetView workbookViewId="0">
      <selection activeCell="F19" sqref="F19"/>
    </sheetView>
  </sheetViews>
  <sheetFormatPr defaultColWidth="5.69921875" defaultRowHeight="14.4"/>
  <cols>
    <col min="1" max="1" width="2.59765625" style="3" customWidth="1"/>
    <col min="2" max="2" width="4.796875" style="3" bestFit="1" customWidth="1"/>
    <col min="3" max="3" width="11.296875" style="3" bestFit="1" customWidth="1"/>
    <col min="4" max="4" width="47.09765625" style="4" customWidth="1"/>
    <col min="5" max="5" width="8.59765625" style="3" customWidth="1"/>
    <col min="6" max="6" width="55.09765625" style="3" customWidth="1"/>
    <col min="7" max="7" width="8.5" style="3" bestFit="1" customWidth="1"/>
    <col min="8" max="8" width="26.796875" style="3" customWidth="1"/>
    <col min="9" max="16384" width="5.69921875" style="3"/>
  </cols>
  <sheetData>
    <row r="2" spans="2:8">
      <c r="B2" s="3" t="s">
        <v>93</v>
      </c>
      <c r="C2" s="3" t="s">
        <v>95</v>
      </c>
      <c r="D2" s="4" t="s">
        <v>94</v>
      </c>
      <c r="E2" s="3" t="s">
        <v>98</v>
      </c>
      <c r="F2" s="3" t="s">
        <v>99</v>
      </c>
      <c r="G2" s="3" t="s">
        <v>101</v>
      </c>
      <c r="H2" s="3" t="s">
        <v>100</v>
      </c>
    </row>
    <row r="3" spans="2:8" ht="123" customHeight="1">
      <c r="E3" s="5"/>
      <c r="F3" s="4"/>
      <c r="G3" s="7"/>
    </row>
    <row r="4" spans="2:8">
      <c r="E4" s="5"/>
      <c r="G4" s="7"/>
    </row>
    <row r="5" spans="2:8">
      <c r="E5" s="5"/>
      <c r="G5" s="7"/>
    </row>
    <row r="6" spans="2:8">
      <c r="E6" s="5"/>
      <c r="G6" s="7"/>
    </row>
    <row r="7" spans="2:8">
      <c r="E7" s="5"/>
      <c r="G7" s="7"/>
    </row>
    <row r="8" spans="2:8">
      <c r="E8" s="5"/>
      <c r="G8" s="7"/>
    </row>
    <row r="9" spans="2:8">
      <c r="E9" s="6"/>
      <c r="F9" s="4"/>
      <c r="G9" s="7"/>
    </row>
    <row r="10" spans="2:8">
      <c r="E10" s="6"/>
      <c r="F10" s="4"/>
      <c r="G10" s="7"/>
    </row>
    <row r="11" spans="2:8">
      <c r="E11" s="6"/>
    </row>
    <row r="12" spans="2:8">
      <c r="C12" s="4"/>
      <c r="E12" s="6"/>
      <c r="G12" s="7"/>
    </row>
    <row r="13" spans="2:8">
      <c r="E13" s="6"/>
      <c r="G13" s="7"/>
    </row>
    <row r="14" spans="2:8">
      <c r="B14" s="3">
        <v>12</v>
      </c>
      <c r="C14" s="3" t="s">
        <v>144</v>
      </c>
      <c r="D14" s="4" t="s">
        <v>145</v>
      </c>
      <c r="E14" s="6"/>
    </row>
    <row r="15" spans="2:8">
      <c r="E15" s="6"/>
    </row>
    <row r="16" spans="2:8">
      <c r="E16" s="6"/>
    </row>
    <row r="17" spans="5:5">
      <c r="E17" s="6"/>
    </row>
    <row r="18" spans="5:5">
      <c r="E18" s="6"/>
    </row>
    <row r="19" spans="5:5">
      <c r="E19" s="6"/>
    </row>
    <row r="20" spans="5:5">
      <c r="E20" s="6"/>
    </row>
    <row r="21" spans="5:5">
      <c r="E21" s="6"/>
    </row>
    <row r="22" spans="5:5">
      <c r="E22" s="6"/>
    </row>
    <row r="23" spans="5:5">
      <c r="E23" s="6"/>
    </row>
    <row r="24" spans="5:5">
      <c r="E24" s="6"/>
    </row>
    <row r="25" spans="5:5">
      <c r="E25" s="6"/>
    </row>
    <row r="26" spans="5:5">
      <c r="E26" s="6"/>
    </row>
    <row r="27" spans="5:5">
      <c r="E27" s="6"/>
    </row>
    <row r="28" spans="5:5">
      <c r="E28" s="6"/>
    </row>
    <row r="29" spans="5:5">
      <c r="E29" s="6"/>
    </row>
    <row r="30" spans="5:5">
      <c r="E30" s="6"/>
    </row>
    <row r="31" spans="5:5">
      <c r="E31" s="6"/>
    </row>
    <row r="32" spans="5:5">
      <c r="E32" s="6"/>
    </row>
    <row r="33" spans="5:5">
      <c r="E33" s="6"/>
    </row>
    <row r="34" spans="5:5">
      <c r="E34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2" spans="5:5">
      <c r="E42" s="6"/>
    </row>
    <row r="43" spans="5:5">
      <c r="E43" s="6"/>
    </row>
    <row r="44" spans="5:5">
      <c r="E44" s="6"/>
    </row>
    <row r="45" spans="5:5">
      <c r="E45" s="6"/>
    </row>
    <row r="46" spans="5:5">
      <c r="E46" s="6"/>
    </row>
    <row r="47" spans="5:5">
      <c r="E47" s="6"/>
    </row>
    <row r="48" spans="5:5">
      <c r="E48" s="6"/>
    </row>
    <row r="49" spans="5:5">
      <c r="E49" s="6"/>
    </row>
    <row r="50" spans="5:5">
      <c r="E50" s="6"/>
    </row>
    <row r="51" spans="5:5">
      <c r="E51" s="6"/>
    </row>
    <row r="52" spans="5:5">
      <c r="E52" s="6"/>
    </row>
    <row r="53" spans="5:5">
      <c r="E53" s="6"/>
    </row>
    <row r="54" spans="5:5">
      <c r="E54" s="6"/>
    </row>
    <row r="55" spans="5:5">
      <c r="E55" s="6"/>
    </row>
    <row r="56" spans="5:5">
      <c r="E56" s="6"/>
    </row>
    <row r="57" spans="5:5">
      <c r="E57" s="6"/>
    </row>
    <row r="58" spans="5:5">
      <c r="E58" s="6"/>
    </row>
    <row r="59" spans="5:5">
      <c r="E59" s="6"/>
    </row>
    <row r="60" spans="5:5">
      <c r="E60" s="6"/>
    </row>
    <row r="61" spans="5:5">
      <c r="E61" s="6"/>
    </row>
    <row r="62" spans="5:5">
      <c r="E62" s="6"/>
    </row>
    <row r="63" spans="5:5">
      <c r="E63" s="6"/>
    </row>
    <row r="64" spans="5:5">
      <c r="E64" s="6"/>
    </row>
    <row r="65" spans="5:5">
      <c r="E65" s="6"/>
    </row>
    <row r="66" spans="5:5">
      <c r="E66" s="6"/>
    </row>
    <row r="67" spans="5:5">
      <c r="E67" s="6"/>
    </row>
    <row r="68" spans="5:5">
      <c r="E68" s="6"/>
    </row>
    <row r="69" spans="5:5">
      <c r="E69" s="6"/>
    </row>
    <row r="70" spans="5:5">
      <c r="E70" s="6"/>
    </row>
    <row r="71" spans="5:5">
      <c r="E71" s="6"/>
    </row>
    <row r="72" spans="5:5">
      <c r="E72" s="6"/>
    </row>
    <row r="73" spans="5:5">
      <c r="E73" s="6"/>
    </row>
    <row r="74" spans="5:5">
      <c r="E74" s="6"/>
    </row>
    <row r="75" spans="5:5">
      <c r="E75" s="6"/>
    </row>
    <row r="76" spans="5:5">
      <c r="E76" s="6"/>
    </row>
    <row r="77" spans="5:5">
      <c r="E77" s="6"/>
    </row>
    <row r="78" spans="5:5">
      <c r="E78" s="6"/>
    </row>
    <row r="79" spans="5:5">
      <c r="E79" s="6"/>
    </row>
    <row r="80" spans="5:5">
      <c r="E80" s="6"/>
    </row>
    <row r="81" spans="5:5">
      <c r="E81" s="6"/>
    </row>
    <row r="82" spans="5:5">
      <c r="E82" s="6"/>
    </row>
    <row r="83" spans="5:5">
      <c r="E83" s="6"/>
    </row>
    <row r="84" spans="5:5">
      <c r="E84" s="6"/>
    </row>
    <row r="85" spans="5:5">
      <c r="E85" s="6"/>
    </row>
    <row r="86" spans="5:5">
      <c r="E86" s="6"/>
    </row>
    <row r="87" spans="5:5">
      <c r="E87" s="6"/>
    </row>
    <row r="88" spans="5:5">
      <c r="E88" s="6"/>
    </row>
    <row r="89" spans="5:5">
      <c r="E89" s="6"/>
    </row>
    <row r="90" spans="5:5">
      <c r="E90" s="6"/>
    </row>
    <row r="91" spans="5:5">
      <c r="E91" s="6"/>
    </row>
    <row r="92" spans="5:5">
      <c r="E92" s="6"/>
    </row>
    <row r="93" spans="5:5">
      <c r="E93" s="6"/>
    </row>
    <row r="94" spans="5:5">
      <c r="E94" s="6"/>
    </row>
    <row r="95" spans="5:5">
      <c r="E95" s="6"/>
    </row>
    <row r="96" spans="5:5">
      <c r="E96" s="6"/>
    </row>
    <row r="97" spans="5:5">
      <c r="E97" s="6"/>
    </row>
    <row r="98" spans="5:5">
      <c r="E98" s="6"/>
    </row>
    <row r="99" spans="5:5">
      <c r="E99" s="6"/>
    </row>
    <row r="100" spans="5:5">
      <c r="E100" s="6"/>
    </row>
    <row r="101" spans="5:5">
      <c r="E101" s="6"/>
    </row>
    <row r="102" spans="5:5">
      <c r="E102" s="6"/>
    </row>
    <row r="103" spans="5:5">
      <c r="E103" s="6"/>
    </row>
    <row r="104" spans="5:5">
      <c r="E104" s="6"/>
    </row>
    <row r="105" spans="5:5">
      <c r="E105" s="6"/>
    </row>
    <row r="106" spans="5:5">
      <c r="E106" s="6"/>
    </row>
    <row r="107" spans="5:5">
      <c r="E107" s="6"/>
    </row>
    <row r="108" spans="5:5">
      <c r="E108" s="6"/>
    </row>
    <row r="109" spans="5:5">
      <c r="E109" s="6"/>
    </row>
    <row r="110" spans="5:5">
      <c r="E110" s="6"/>
    </row>
    <row r="111" spans="5:5">
      <c r="E111" s="6"/>
    </row>
    <row r="112" spans="5:5">
      <c r="E112" s="6"/>
    </row>
    <row r="113" spans="5:5">
      <c r="E113" s="6"/>
    </row>
    <row r="114" spans="5:5">
      <c r="E114" s="6"/>
    </row>
    <row r="115" spans="5:5">
      <c r="E115" s="6"/>
    </row>
    <row r="116" spans="5:5">
      <c r="E116" s="6"/>
    </row>
    <row r="117" spans="5:5">
      <c r="E117" s="6"/>
    </row>
    <row r="118" spans="5:5">
      <c r="E118" s="6"/>
    </row>
    <row r="119" spans="5:5">
      <c r="E119" s="6"/>
    </row>
    <row r="120" spans="5:5">
      <c r="E120" s="6"/>
    </row>
    <row r="121" spans="5:5">
      <c r="E121" s="6"/>
    </row>
    <row r="122" spans="5:5">
      <c r="E122" s="6"/>
    </row>
    <row r="123" spans="5:5">
      <c r="E123" s="6"/>
    </row>
    <row r="124" spans="5:5">
      <c r="E124" s="6"/>
    </row>
    <row r="125" spans="5:5">
      <c r="E125" s="6"/>
    </row>
    <row r="126" spans="5:5">
      <c r="E126" s="6"/>
    </row>
    <row r="127" spans="5:5">
      <c r="E127" s="6"/>
    </row>
    <row r="128" spans="5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</sheetData>
  <autoFilter ref="B2:H13" xr:uid="{E795A72B-B203-49F9-8AD6-45A40D6AC3F2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CA14A-CD39-4243-88A0-59AE89E5604C}">
  <dimension ref="A1:B3"/>
  <sheetViews>
    <sheetView workbookViewId="0">
      <selection activeCell="T28" sqref="T28"/>
    </sheetView>
  </sheetViews>
  <sheetFormatPr defaultColWidth="2.69921875" defaultRowHeight="14.4"/>
  <cols>
    <col min="1" max="16384" width="2.69921875" style="1"/>
  </cols>
  <sheetData>
    <row r="1" spans="1:2">
      <c r="A1" s="1" t="s">
        <v>96</v>
      </c>
    </row>
    <row r="3" spans="1:2">
      <c r="B3" s="1" t="s">
        <v>97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A6AAD-6E84-4FA1-B210-BFF009373F30}">
  <dimension ref="A1:AF41"/>
  <sheetViews>
    <sheetView topLeftCell="A26" workbookViewId="0">
      <selection activeCell="U52" sqref="U52"/>
    </sheetView>
  </sheetViews>
  <sheetFormatPr defaultColWidth="2.69921875" defaultRowHeight="14.4"/>
  <cols>
    <col min="1" max="16384" width="2.69921875" style="1"/>
  </cols>
  <sheetData>
    <row r="1" spans="1:32">
      <c r="A1" s="1" t="s">
        <v>29</v>
      </c>
    </row>
    <row r="2" spans="1:32">
      <c r="B2" s="1" t="s">
        <v>0</v>
      </c>
      <c r="E2" s="1" t="s">
        <v>2</v>
      </c>
    </row>
    <row r="3" spans="1:32">
      <c r="E3" s="1" t="s">
        <v>1</v>
      </c>
    </row>
    <row r="5" spans="1:32">
      <c r="E5" s="1" t="s">
        <v>3</v>
      </c>
    </row>
    <row r="7" spans="1:32">
      <c r="E7" s="1" t="s">
        <v>4</v>
      </c>
    </row>
    <row r="8" spans="1:32">
      <c r="F8" s="1" t="s">
        <v>5</v>
      </c>
    </row>
    <row r="9" spans="1:32">
      <c r="F9" s="1" t="s">
        <v>6</v>
      </c>
    </row>
    <row r="10" spans="1:32">
      <c r="F10" s="1" t="s">
        <v>7</v>
      </c>
    </row>
    <row r="12" spans="1:32">
      <c r="B12" s="1" t="s">
        <v>8</v>
      </c>
    </row>
    <row r="14" spans="1:32">
      <c r="D14" s="1" t="s">
        <v>9</v>
      </c>
    </row>
    <row r="15" spans="1:32">
      <c r="D15" s="1" t="s">
        <v>10</v>
      </c>
    </row>
    <row r="16" spans="1:32">
      <c r="D16" s="1" t="s">
        <v>11</v>
      </c>
      <c r="U16" s="1" t="s">
        <v>21</v>
      </c>
      <c r="AF16" s="1" t="s">
        <v>22</v>
      </c>
    </row>
    <row r="17" spans="3:32">
      <c r="D17" s="1" t="s">
        <v>12</v>
      </c>
      <c r="U17" s="1" t="s">
        <v>23</v>
      </c>
    </row>
    <row r="18" spans="3:32">
      <c r="D18" s="1" t="s">
        <v>13</v>
      </c>
      <c r="U18" s="1" t="s">
        <v>24</v>
      </c>
      <c r="V18" s="1" t="s">
        <v>25</v>
      </c>
      <c r="AF18" s="1" t="s">
        <v>26</v>
      </c>
    </row>
    <row r="19" spans="3:32">
      <c r="D19" s="1" t="s">
        <v>14</v>
      </c>
      <c r="U19" s="1" t="s">
        <v>24</v>
      </c>
      <c r="AF19" s="1" t="s">
        <v>27</v>
      </c>
    </row>
    <row r="20" spans="3:32">
      <c r="D20" s="1" t="s">
        <v>15</v>
      </c>
      <c r="U20" s="1" t="s">
        <v>24</v>
      </c>
    </row>
    <row r="21" spans="3:32">
      <c r="D21" s="1" t="s">
        <v>16</v>
      </c>
    </row>
    <row r="22" spans="3:32">
      <c r="D22" s="1" t="s">
        <v>17</v>
      </c>
    </row>
    <row r="23" spans="3:32">
      <c r="D23" s="1" t="s">
        <v>18</v>
      </c>
    </row>
    <row r="24" spans="3:32">
      <c r="D24" s="1" t="s">
        <v>19</v>
      </c>
    </row>
    <row r="25" spans="3:32">
      <c r="D25" s="1" t="s">
        <v>20</v>
      </c>
    </row>
    <row r="29" spans="3:32">
      <c r="C29" s="1" t="s">
        <v>102</v>
      </c>
      <c r="D29" s="1" t="s">
        <v>103</v>
      </c>
    </row>
    <row r="30" spans="3:32">
      <c r="D30" s="1" t="s">
        <v>13</v>
      </c>
    </row>
    <row r="31" spans="3:32">
      <c r="D31" s="1" t="s">
        <v>14</v>
      </c>
    </row>
    <row r="32" spans="3:32">
      <c r="D32" s="1" t="s">
        <v>15</v>
      </c>
    </row>
    <row r="33" spans="4:5">
      <c r="D33" s="1" t="s">
        <v>16</v>
      </c>
    </row>
    <row r="34" spans="4:5">
      <c r="D34" s="1" t="s">
        <v>17</v>
      </c>
    </row>
    <row r="36" spans="4:5">
      <c r="D36" s="1" t="s">
        <v>105</v>
      </c>
    </row>
    <row r="38" spans="4:5">
      <c r="D38" s="1" t="s">
        <v>104</v>
      </c>
    </row>
    <row r="39" spans="4:5">
      <c r="D39" s="1" t="s">
        <v>106</v>
      </c>
    </row>
    <row r="41" spans="4:5">
      <c r="D41" s="1" t="s">
        <v>107</v>
      </c>
      <c r="E41" s="1" t="s">
        <v>108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150BB-5B17-4C45-8C95-0C03A60939AF}">
  <dimension ref="A1:AK60"/>
  <sheetViews>
    <sheetView topLeftCell="A37" workbookViewId="0">
      <selection activeCell="R56" sqref="R56"/>
    </sheetView>
  </sheetViews>
  <sheetFormatPr defaultColWidth="2.69921875" defaultRowHeight="18"/>
  <sheetData>
    <row r="1" spans="1:5">
      <c r="A1" t="s">
        <v>28</v>
      </c>
    </row>
    <row r="2" spans="1:5">
      <c r="B2" t="s">
        <v>0</v>
      </c>
      <c r="E2" t="s">
        <v>30</v>
      </c>
    </row>
    <row r="3" spans="1:5">
      <c r="E3" t="s">
        <v>31</v>
      </c>
    </row>
    <row r="4" spans="1:5">
      <c r="E4" t="s">
        <v>32</v>
      </c>
    </row>
    <row r="5" spans="1:5">
      <c r="E5" t="s">
        <v>33</v>
      </c>
    </row>
    <row r="6" spans="1:5">
      <c r="E6" t="s">
        <v>34</v>
      </c>
    </row>
    <row r="8" spans="1:5">
      <c r="B8" t="s">
        <v>35</v>
      </c>
    </row>
    <row r="9" spans="1:5">
      <c r="C9" t="s">
        <v>36</v>
      </c>
    </row>
    <row r="10" spans="1:5">
      <c r="D10" t="s">
        <v>43</v>
      </c>
    </row>
    <row r="11" spans="1:5">
      <c r="D11" t="s">
        <v>44</v>
      </c>
    </row>
    <row r="12" spans="1:5">
      <c r="D12" t="s">
        <v>45</v>
      </c>
    </row>
    <row r="13" spans="1:5">
      <c r="D13" t="s">
        <v>46</v>
      </c>
    </row>
    <row r="16" spans="1:5">
      <c r="C16" t="s">
        <v>42</v>
      </c>
    </row>
    <row r="17" spans="3:25">
      <c r="D17" t="s">
        <v>37</v>
      </c>
    </row>
    <row r="18" spans="3:25">
      <c r="D18" t="s">
        <v>38</v>
      </c>
      <c r="Y18" t="s">
        <v>49</v>
      </c>
    </row>
    <row r="19" spans="3:25">
      <c r="D19" t="s">
        <v>39</v>
      </c>
      <c r="Y19" t="s">
        <v>47</v>
      </c>
    </row>
    <row r="20" spans="3:25">
      <c r="D20" t="s">
        <v>40</v>
      </c>
      <c r="Y20" t="s">
        <v>48</v>
      </c>
    </row>
    <row r="21" spans="3:25">
      <c r="D21" t="s">
        <v>41</v>
      </c>
      <c r="Y21" t="s">
        <v>50</v>
      </c>
    </row>
    <row r="22" spans="3:25">
      <c r="D22" t="s">
        <v>20</v>
      </c>
    </row>
    <row r="24" spans="3:25">
      <c r="C24" t="s">
        <v>51</v>
      </c>
    </row>
    <row r="25" spans="3:25">
      <c r="D25" t="s">
        <v>52</v>
      </c>
    </row>
    <row r="28" spans="3:25">
      <c r="C28" t="s">
        <v>61</v>
      </c>
    </row>
    <row r="29" spans="3:25">
      <c r="D29" t="s">
        <v>53</v>
      </c>
    </row>
    <row r="30" spans="3:25">
      <c r="D30" t="s">
        <v>54</v>
      </c>
      <c r="T30" t="s">
        <v>62</v>
      </c>
    </row>
    <row r="31" spans="3:25">
      <c r="D31" t="s">
        <v>55</v>
      </c>
    </row>
    <row r="32" spans="3:25">
      <c r="D32" t="s">
        <v>56</v>
      </c>
    </row>
    <row r="33" spans="3:26">
      <c r="D33" t="s">
        <v>57</v>
      </c>
    </row>
    <row r="34" spans="3:26">
      <c r="D34" t="s">
        <v>58</v>
      </c>
    </row>
    <row r="35" spans="3:26">
      <c r="D35" t="s">
        <v>59</v>
      </c>
    </row>
    <row r="36" spans="3:26">
      <c r="D36" t="s">
        <v>60</v>
      </c>
    </row>
    <row r="37" spans="3:26">
      <c r="D37" t="s">
        <v>20</v>
      </c>
    </row>
    <row r="39" spans="3:26">
      <c r="C39" t="s">
        <v>63</v>
      </c>
    </row>
    <row r="41" spans="3:26">
      <c r="D41" t="s">
        <v>64</v>
      </c>
    </row>
    <row r="42" spans="3:26">
      <c r="D42" t="s">
        <v>65</v>
      </c>
      <c r="T42" t="s">
        <v>68</v>
      </c>
    </row>
    <row r="43" spans="3:26">
      <c r="D43" t="s">
        <v>66</v>
      </c>
    </row>
    <row r="44" spans="3:26">
      <c r="D44" t="s">
        <v>67</v>
      </c>
    </row>
    <row r="45" spans="3:26">
      <c r="D45" t="s">
        <v>79</v>
      </c>
      <c r="Z45" t="s">
        <v>80</v>
      </c>
    </row>
    <row r="46" spans="3:26">
      <c r="Z46" t="s">
        <v>81</v>
      </c>
    </row>
    <row r="50" spans="3:37">
      <c r="C50" t="s">
        <v>82</v>
      </c>
    </row>
    <row r="51" spans="3:37">
      <c r="D51" t="s">
        <v>69</v>
      </c>
    </row>
    <row r="52" spans="3:37">
      <c r="D52" t="s">
        <v>70</v>
      </c>
      <c r="AB52" t="s">
        <v>83</v>
      </c>
    </row>
    <row r="53" spans="3:37">
      <c r="D53" t="s">
        <v>71</v>
      </c>
      <c r="AK53" t="s">
        <v>109</v>
      </c>
    </row>
    <row r="54" spans="3:37">
      <c r="D54" t="s">
        <v>72</v>
      </c>
      <c r="AH54" s="2"/>
      <c r="AJ54" t="s">
        <v>84</v>
      </c>
    </row>
    <row r="55" spans="3:37">
      <c r="D55" t="s">
        <v>73</v>
      </c>
      <c r="AH55" s="2"/>
    </row>
    <row r="56" spans="3:37">
      <c r="D56" t="s">
        <v>74</v>
      </c>
      <c r="AH56" s="2"/>
    </row>
    <row r="57" spans="3:37">
      <c r="D57" t="s">
        <v>75</v>
      </c>
      <c r="AH57" s="2"/>
    </row>
    <row r="58" spans="3:37">
      <c r="D58" t="s">
        <v>76</v>
      </c>
    </row>
    <row r="59" spans="3:37">
      <c r="D59" t="s">
        <v>77</v>
      </c>
    </row>
    <row r="60" spans="3:37">
      <c r="D60" t="s">
        <v>78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9D083-D91B-4C28-8956-D872D1610324}">
  <dimension ref="A1:AC46"/>
  <sheetViews>
    <sheetView topLeftCell="A25" workbookViewId="0">
      <selection activeCell="R48" sqref="R48"/>
    </sheetView>
  </sheetViews>
  <sheetFormatPr defaultColWidth="2.69921875" defaultRowHeight="18"/>
  <sheetData>
    <row r="1" spans="1:6">
      <c r="A1" t="s">
        <v>85</v>
      </c>
    </row>
    <row r="3" spans="1:6">
      <c r="B3" t="s">
        <v>0</v>
      </c>
      <c r="E3" t="s">
        <v>86</v>
      </c>
    </row>
    <row r="6" spans="1:6">
      <c r="B6" t="s">
        <v>87</v>
      </c>
    </row>
    <row r="8" spans="1:6">
      <c r="C8" t="s">
        <v>88</v>
      </c>
    </row>
    <row r="9" spans="1:6">
      <c r="C9" t="s">
        <v>89</v>
      </c>
    </row>
    <row r="12" spans="1:6">
      <c r="B12" t="s">
        <v>91</v>
      </c>
    </row>
    <row r="13" spans="1:6">
      <c r="C13" t="s">
        <v>90</v>
      </c>
    </row>
    <row r="15" spans="1:6">
      <c r="D15" t="s">
        <v>112</v>
      </c>
      <c r="F15" t="s">
        <v>110</v>
      </c>
    </row>
    <row r="16" spans="1:6">
      <c r="F16" t="s">
        <v>111</v>
      </c>
    </row>
    <row r="17" spans="4:14">
      <c r="F17" t="s">
        <v>114</v>
      </c>
      <c r="I17" t="s">
        <v>113</v>
      </c>
    </row>
    <row r="18" spans="4:14">
      <c r="I18" t="s">
        <v>115</v>
      </c>
      <c r="K18" t="s">
        <v>116</v>
      </c>
    </row>
    <row r="20" spans="4:14">
      <c r="D20" t="s">
        <v>117</v>
      </c>
      <c r="G20" t="s">
        <v>118</v>
      </c>
    </row>
    <row r="22" spans="4:14">
      <c r="D22" t="s">
        <v>126</v>
      </c>
    </row>
    <row r="23" spans="4:14">
      <c r="E23" t="s">
        <v>119</v>
      </c>
    </row>
    <row r="24" spans="4:14">
      <c r="G24" t="s">
        <v>122</v>
      </c>
    </row>
    <row r="25" spans="4:14">
      <c r="H25" s="10" t="s">
        <v>121</v>
      </c>
    </row>
    <row r="26" spans="4:14">
      <c r="H26" s="10" t="s">
        <v>120</v>
      </c>
    </row>
    <row r="27" spans="4:14">
      <c r="G27" s="9"/>
    </row>
    <row r="28" spans="4:14">
      <c r="E28" t="s">
        <v>123</v>
      </c>
      <c r="G28" s="8"/>
    </row>
    <row r="29" spans="4:14">
      <c r="F29" t="s">
        <v>124</v>
      </c>
      <c r="G29" s="8"/>
    </row>
    <row r="30" spans="4:14">
      <c r="F30" t="s">
        <v>125</v>
      </c>
      <c r="G30" s="8"/>
    </row>
    <row r="31" spans="4:14">
      <c r="G31" s="8"/>
    </row>
    <row r="32" spans="4:14">
      <c r="F32" t="s">
        <v>127</v>
      </c>
      <c r="G32" s="8"/>
      <c r="N32" t="s">
        <v>128</v>
      </c>
    </row>
    <row r="33" spans="2:29">
      <c r="F33" t="s">
        <v>129</v>
      </c>
      <c r="G33" s="8"/>
      <c r="N33" t="s">
        <v>130</v>
      </c>
    </row>
    <row r="34" spans="2:29">
      <c r="G34" s="8"/>
    </row>
    <row r="35" spans="2:29">
      <c r="G35" s="8"/>
    </row>
    <row r="36" spans="2:29">
      <c r="D36" t="s">
        <v>131</v>
      </c>
    </row>
    <row r="37" spans="2:29">
      <c r="E37" t="s">
        <v>132</v>
      </c>
    </row>
    <row r="38" spans="2:29">
      <c r="E38" t="s">
        <v>133</v>
      </c>
    </row>
    <row r="41" spans="2:29">
      <c r="B41" t="s">
        <v>134</v>
      </c>
    </row>
    <row r="42" spans="2:29">
      <c r="C42" t="s">
        <v>142</v>
      </c>
      <c r="AC42" t="s">
        <v>92</v>
      </c>
    </row>
    <row r="43" spans="2:29">
      <c r="Q43" t="s">
        <v>139</v>
      </c>
    </row>
    <row r="44" spans="2:29">
      <c r="D44" t="s">
        <v>135</v>
      </c>
      <c r="J44" t="s">
        <v>136</v>
      </c>
    </row>
    <row r="45" spans="2:29">
      <c r="D45" t="s">
        <v>137</v>
      </c>
      <c r="K45" t="s">
        <v>138</v>
      </c>
    </row>
    <row r="46" spans="2:29">
      <c r="D46" t="s">
        <v>140</v>
      </c>
      <c r="F46" t="s">
        <v>141</v>
      </c>
    </row>
  </sheetData>
  <phoneticPr fontId="2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065E-D824-475C-9DC4-FAA4779A6AA6}">
  <dimension ref="A1"/>
  <sheetViews>
    <sheetView workbookViewId="0">
      <selection activeCell="H18" sqref="H18"/>
    </sheetView>
  </sheetViews>
  <sheetFormatPr defaultColWidth="2.69921875" defaultRowHeight="14.4"/>
  <cols>
    <col min="1" max="16384" width="2.69921875" style="1"/>
  </cols>
  <sheetData>
    <row r="1" spans="1:1">
      <c r="A1" s="1" t="s">
        <v>143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AE25" sqref="AE25"/>
    </sheetView>
  </sheetViews>
  <sheetFormatPr defaultColWidth="2.69921875" defaultRowHeight="14.4"/>
  <cols>
    <col min="1" max="16384" width="2.69921875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画面検討</vt:lpstr>
      <vt:lpstr>バグリスト</vt:lpstr>
      <vt:lpstr>dataModels.ts</vt:lpstr>
      <vt:lpstr>App.tsx</vt:lpstr>
      <vt:lpstr>index.tsx</vt:lpstr>
      <vt:lpstr>CalendarScreen.tsx</vt:lpstr>
      <vt:lpstr>AchievementSheet.tsx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菜摘 佃</cp:lastModifiedBy>
  <dcterms:created xsi:type="dcterms:W3CDTF">2015-06-05T18:19:34Z</dcterms:created>
  <dcterms:modified xsi:type="dcterms:W3CDTF">2025-12-15T14:57:20Z</dcterms:modified>
</cp:coreProperties>
</file>